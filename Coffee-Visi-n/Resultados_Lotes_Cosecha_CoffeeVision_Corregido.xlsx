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Cul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i val="1"/>
      <color rgb="00555555"/>
      <sz val="11"/>
    </font>
    <font>
      <name val="Calibri"/>
      <b val="1"/>
      <color rgb="00666666"/>
      <sz val="9"/>
    </font>
    <font>
      <name val="Calibri"/>
      <b val="1"/>
      <color rgb="001B4D3E"/>
      <sz val="18"/>
    </font>
    <font>
      <name val="Calibri"/>
      <i val="1"/>
      <color rgb="00888888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b val="1"/>
      <color rgb="000288D1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4A6B22"/>
        <bgColor rgb="004A6B2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1F5FE"/>
        <bgColor rgb="00E1F5FE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10" fillId="0" borderId="3" pivotButton="0" quotePrefix="0" xfId="0"/>
    <xf numFmtId="3" fontId="1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Producción Estimada por Lote (Cargas)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 de Cultivo'!G10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'Reporte de Cultivo'!$B$11:$B$13</f>
            </numRef>
          </cat>
          <val>
            <numRef>
              <f>'Reporte de Cultivo'!$G$11:$G$13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Cargas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4" customWidth="1" min="5" max="5"/>
    <col width="22" customWidth="1" min="6" max="6"/>
    <col width="24" customWidth="1" min="7" max="7"/>
    <col width="24" customWidth="1" min="8" max="8"/>
  </cols>
  <sheetData>
    <row r="2">
      <c r="B2" s="1" t="inlineStr">
        <is>
          <t>COFFEE+VISIÓN - ESTADÍSTICAS DE CULTIVO</t>
        </is>
      </c>
    </row>
    <row r="3">
      <c r="B3" s="2" t="inlineStr">
        <is>
          <t>Reporte Consolidado de Lotes, Hectáreas, Estado y Producción</t>
        </is>
      </c>
    </row>
    <row r="5">
      <c r="B5" s="3" t="inlineStr">
        <is>
          <t>TOTAL HECTÁREAS</t>
        </is>
      </c>
      <c r="C5" s="4" t="n"/>
      <c r="D5" s="3" t="inlineStr">
        <is>
          <t>PRODUCCIÓN ESTIMADA</t>
        </is>
      </c>
      <c r="E5" s="4" t="n"/>
      <c r="F5" s="3" t="inlineStr">
        <is>
          <t>ESTADO SANITARIO</t>
        </is>
      </c>
      <c r="G5" s="4" t="n"/>
    </row>
    <row r="6">
      <c r="B6" s="5" t="inlineStr">
        <is>
          <t>24.5 ha</t>
        </is>
      </c>
      <c r="C6" s="4" t="n"/>
      <c r="D6" s="5" t="inlineStr">
        <is>
          <t>1,250 Cargas</t>
        </is>
      </c>
      <c r="E6" s="4" t="n"/>
      <c r="F6" s="5" t="inlineStr">
        <is>
          <t>94% Sano</t>
        </is>
      </c>
      <c r="G6" s="4" t="n"/>
    </row>
    <row r="7">
      <c r="B7" s="6" t="inlineStr">
        <is>
          <t>↑ 1.2% este mes</t>
        </is>
      </c>
      <c r="C7" s="4" t="n"/>
      <c r="D7" s="6" t="inlineStr">
        <is>
          <t>Variedad Castillo / Cenicafé</t>
        </is>
      </c>
      <c r="E7" s="4" t="n"/>
      <c r="F7" s="6" t="inlineStr">
        <is>
          <t>6% Alerta de Roya</t>
        </is>
      </c>
      <c r="G7" s="4" t="n"/>
    </row>
    <row r="10">
      <c r="B10" s="7" t="inlineStr">
        <is>
          <t>Lote</t>
        </is>
      </c>
      <c r="C10" s="7" t="inlineStr">
        <is>
          <t>Variedad</t>
        </is>
      </c>
      <c r="D10" s="7" t="inlineStr">
        <is>
          <t>Edad (Años)</t>
        </is>
      </c>
      <c r="E10" s="7" t="inlineStr">
        <is>
          <t>Área (ha)</t>
        </is>
      </c>
      <c r="F10" s="7" t="inlineStr">
        <is>
          <t>Estado / Rendimiento</t>
        </is>
      </c>
      <c r="G10" s="7" t="inlineStr">
        <is>
          <t>Producción Est. (Cargas)</t>
        </is>
      </c>
      <c r="H10" s="7" t="inlineStr">
        <is>
          <t>Rendimiento (Cargas/ha)</t>
        </is>
      </c>
    </row>
    <row r="11">
      <c r="B11" s="8" t="inlineStr">
        <is>
          <t>Lote El Paraíso</t>
        </is>
      </c>
      <c r="C11" s="9" t="inlineStr">
        <is>
          <t>Castillo</t>
        </is>
      </c>
      <c r="D11" s="10" t="n">
        <v>3</v>
      </c>
      <c r="E11" s="11" t="n">
        <v>10</v>
      </c>
      <c r="F11" s="12" t="inlineStr">
        <is>
          <t>Óptimo</t>
        </is>
      </c>
      <c r="G11" s="10" t="n">
        <v>550</v>
      </c>
      <c r="H11" s="11">
        <f>G11/E11</f>
        <v/>
      </c>
    </row>
    <row r="12">
      <c r="B12" s="8" t="inlineStr">
        <is>
          <t>Lote La Esperanza</t>
        </is>
      </c>
      <c r="C12" s="9" t="inlineStr">
        <is>
          <t>Caturra</t>
        </is>
      </c>
      <c r="D12" s="10" t="n">
        <v>5</v>
      </c>
      <c r="E12" s="11" t="n">
        <v>11.5</v>
      </c>
      <c r="F12" s="13" t="inlineStr">
        <is>
          <t>Mantenimiento</t>
        </is>
      </c>
      <c r="G12" s="10" t="n">
        <v>600</v>
      </c>
      <c r="H12" s="11">
        <f>G12/E12</f>
        <v/>
      </c>
    </row>
    <row r="13">
      <c r="B13" s="8" t="inlineStr">
        <is>
          <t>Lote Central</t>
        </is>
      </c>
      <c r="C13" s="9" t="inlineStr">
        <is>
          <t>Cenicafé 1</t>
        </is>
      </c>
      <c r="D13" s="10" t="n">
        <v>1</v>
      </c>
      <c r="E13" s="11" t="n">
        <v>3</v>
      </c>
      <c r="F13" s="14" t="inlineStr">
        <is>
          <t>Crecimiento</t>
        </is>
      </c>
      <c r="G13" s="10" t="n">
        <v>100</v>
      </c>
      <c r="H13" s="11">
        <f>G13/E13</f>
        <v/>
      </c>
    </row>
    <row r="14">
      <c r="B14" s="15" t="inlineStr">
        <is>
          <t>TOTAL / PROMEDIO</t>
        </is>
      </c>
      <c r="C14" s="16" t="n"/>
      <c r="D14" s="17">
        <f>AVERAGE(D11:D13)</f>
        <v/>
      </c>
      <c r="E14" s="17">
        <f>SUM(E11:E13)</f>
        <v/>
      </c>
      <c r="F14" s="16" t="n"/>
      <c r="G14" s="18">
        <f>SUM(G11:G13)</f>
        <v/>
      </c>
      <c r="H14" s="17">
        <f>G14/E14</f>
        <v/>
      </c>
    </row>
  </sheetData>
  <mergeCells count="9">
    <mergeCell ref="D6:E6"/>
    <mergeCell ref="B6:C6"/>
    <mergeCell ref="D7:E7"/>
    <mergeCell ref="B7:C7"/>
    <mergeCell ref="B5:C5"/>
    <mergeCell ref="F5:G5"/>
    <mergeCell ref="D5:E5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2026-07-22T16:16:57Z</dcterms:created>
  <dcterms:modified xmlns:dcterms="http://purl.org/dc/terms/" xmlns:xsi="http://www.w3.org/2001/XMLSchema-instance" xsi:type="dcterms:W3CDTF">2026-07-22T16:16:57Z</dcterms:modified>
</cp:coreProperties>
</file>